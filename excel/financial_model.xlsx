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9575d5404c8d5e/Desktop/Projects/vscode/Payflow/excel/"/>
    </mc:Choice>
  </mc:AlternateContent>
  <xr:revisionPtr revIDLastSave="1525" documentId="8_{6FDF3AD4-82DB-4513-85A3-8D1BDB68F282}" xr6:coauthVersionLast="47" xr6:coauthVersionMax="47" xr10:uidLastSave="{59C845F0-7BFC-4FC2-AB2E-FE29ABEBFDA9}"/>
  <bookViews>
    <workbookView xWindow="135" yWindow="240" windowWidth="28635" windowHeight="14745" activeTab="5" xr2:uid="{F10EC9A2-7D04-433E-8D71-4CAFF0736531}"/>
  </bookViews>
  <sheets>
    <sheet name="Assumptions" sheetId="1" r:id="rId1"/>
    <sheet name="Income Statement" sheetId="2" r:id="rId2"/>
    <sheet name="Balance Sheet" sheetId="3" r:id="rId3"/>
    <sheet name="Cash Flow" sheetId="4" r:id="rId4"/>
    <sheet name="Variance Analysis" sheetId="5" r:id="rId5"/>
    <sheet name="Q1 2025 Foreca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E17" i="5"/>
  <c r="A2" i="6"/>
  <c r="B26" i="6"/>
  <c r="B11" i="6"/>
  <c r="B10" i="6"/>
  <c r="C14" i="5"/>
  <c r="D14" i="5" s="1"/>
  <c r="E14" i="5" s="1"/>
  <c r="D17" i="5"/>
  <c r="C17" i="5"/>
  <c r="E11" i="5"/>
  <c r="D11" i="5"/>
  <c r="C11" i="5"/>
  <c r="E8" i="5"/>
  <c r="D8" i="5"/>
  <c r="C8" i="5"/>
  <c r="C20" i="2"/>
  <c r="D20" i="2"/>
  <c r="B20" i="2"/>
  <c r="B22" i="4"/>
  <c r="B18" i="4"/>
  <c r="B18" i="3"/>
  <c r="B7" i="6"/>
  <c r="D5" i="2"/>
  <c r="D12" i="2" s="1"/>
  <c r="C5" i="2"/>
  <c r="C6" i="2" s="1"/>
  <c r="C7" i="2" s="1"/>
  <c r="B5" i="2"/>
  <c r="B13" i="2" s="1"/>
  <c r="B24" i="1"/>
  <c r="B11" i="1"/>
  <c r="B12" i="6" l="1"/>
  <c r="D14" i="2"/>
  <c r="D6" i="2"/>
  <c r="D7" i="2" s="1"/>
  <c r="D8" i="2" s="1"/>
  <c r="B11" i="2"/>
  <c r="C11" i="2"/>
  <c r="D11" i="2"/>
  <c r="B14" i="2"/>
  <c r="C13" i="2"/>
  <c r="D13" i="2"/>
  <c r="B6" i="2"/>
  <c r="B7" i="2" s="1"/>
  <c r="C14" i="2"/>
  <c r="B12" i="2"/>
  <c r="C12" i="2"/>
  <c r="E5" i="2"/>
  <c r="C8" i="2"/>
  <c r="E13" i="2" l="1"/>
  <c r="C15" i="2"/>
  <c r="C17" i="2" s="1"/>
  <c r="C22" i="2" s="1"/>
  <c r="C23" i="2" s="1"/>
  <c r="E11" i="2"/>
  <c r="E20" i="2"/>
  <c r="C13" i="5" s="1"/>
  <c r="D13" i="5" s="1"/>
  <c r="E13" i="5" s="1"/>
  <c r="B8" i="2"/>
  <c r="E7" i="2"/>
  <c r="E8" i="2" s="1"/>
  <c r="D15" i="2"/>
  <c r="D17" i="2" s="1"/>
  <c r="E6" i="2"/>
  <c r="E14" i="2"/>
  <c r="E12" i="2"/>
  <c r="B15" i="2"/>
  <c r="C5" i="5"/>
  <c r="D5" i="5" s="1"/>
  <c r="E5" i="5" s="1"/>
  <c r="B6" i="6"/>
  <c r="B8" i="6" s="1"/>
  <c r="B16" i="6" s="1"/>
  <c r="C18" i="2" l="1"/>
  <c r="C7" i="5"/>
  <c r="D7" i="5" s="1"/>
  <c r="E7" i="5" s="1"/>
  <c r="D18" i="2"/>
  <c r="D22" i="2"/>
  <c r="D23" i="2" s="1"/>
  <c r="E15" i="2"/>
  <c r="B17" i="2"/>
  <c r="B17" i="6"/>
  <c r="B18" i="6" s="1"/>
  <c r="B25" i="6"/>
  <c r="B21" i="6"/>
  <c r="B19" i="6" l="1"/>
  <c r="B22" i="6"/>
  <c r="B23" i="6" s="1"/>
  <c r="B28" i="6"/>
  <c r="B22" i="2"/>
  <c r="B18" i="2"/>
  <c r="E17" i="2"/>
  <c r="B29" i="6" l="1"/>
  <c r="B34" i="6"/>
  <c r="C10" i="5"/>
  <c r="D10" i="5" s="1"/>
  <c r="E10" i="5" s="1"/>
  <c r="E18" i="2"/>
  <c r="B23" i="2"/>
  <c r="E22" i="2"/>
  <c r="B6" i="4" l="1"/>
  <c r="B14" i="4" s="1"/>
  <c r="B24" i="4" s="1"/>
  <c r="B26" i="4" s="1"/>
  <c r="B6" i="3" s="1"/>
  <c r="B9" i="3" s="1"/>
  <c r="B12" i="3" s="1"/>
  <c r="E23" i="2"/>
  <c r="C16" i="5"/>
  <c r="D16" i="5" s="1"/>
  <c r="E16" i="5" s="1"/>
  <c r="B24" i="3"/>
  <c r="B33" i="6"/>
  <c r="B35" i="6" s="1"/>
  <c r="B23" i="3" l="1"/>
  <c r="B25" i="3" s="1"/>
  <c r="B2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Grant Gamble</author>
  </authors>
  <commentList>
    <comment ref="B8" authorId="0" shapeId="0" xr:uid="{1DC89A35-A4B6-43C9-A25A-C9852193DE35}">
      <text>
        <r>
          <rPr>
            <b/>
            <sz val="9"/>
            <color indexed="81"/>
            <rFont val="Tahoma"/>
            <charset val="1"/>
          </rPr>
          <t>Grant Gamble:</t>
        </r>
        <r>
          <rPr>
            <sz val="9"/>
            <color indexed="81"/>
            <rFont val="Tahoma"/>
            <charset val="1"/>
          </rPr>
          <t xml:space="preserve">
Source: Q4 2024 Actuals</t>
        </r>
      </text>
    </comment>
    <comment ref="B9" authorId="0" shapeId="0" xr:uid="{75E62EAA-43F5-492B-9DE4-0F8CD7B2D424}">
      <text>
        <r>
          <rPr>
            <b/>
            <sz val="9"/>
            <color indexed="81"/>
            <rFont val="Tahoma"/>
            <charset val="1"/>
          </rPr>
          <t>Grant Gamble:</t>
        </r>
        <r>
          <rPr>
            <sz val="9"/>
            <color indexed="81"/>
            <rFont val="Tahoma"/>
            <charset val="1"/>
          </rPr>
          <t xml:space="preserve">
Source: Q4 2024 Actuals</t>
        </r>
      </text>
    </comment>
    <comment ref="B10" authorId="0" shapeId="0" xr:uid="{4533DC90-CBB9-48E0-99B9-EC647A20D317}">
      <text>
        <r>
          <rPr>
            <b/>
            <sz val="9"/>
            <color indexed="81"/>
            <rFont val="Tahoma"/>
            <charset val="1"/>
          </rPr>
          <t>Grant Gamble:</t>
        </r>
        <r>
          <rPr>
            <sz val="9"/>
            <color indexed="81"/>
            <rFont val="Tahoma"/>
            <charset val="1"/>
          </rPr>
          <t xml:space="preserve">
Source: Q4 2024 Actuals</t>
        </r>
      </text>
    </comment>
  </commentList>
</comments>
</file>

<file path=xl/sharedStrings.xml><?xml version="1.0" encoding="utf-8"?>
<sst xmlns="http://schemas.openxmlformats.org/spreadsheetml/2006/main" count="147" uniqueCount="112">
  <si>
    <t>PAYFLOW COMMERCE - Q4 2024 FINANCIAL MODEL</t>
  </si>
  <si>
    <t>KEY ASSUMPTIONS</t>
  </si>
  <si>
    <t>Revenue (Actuals - Q4 2024)</t>
  </si>
  <si>
    <t>October Revenue</t>
  </si>
  <si>
    <t>November Revenue</t>
  </si>
  <si>
    <t>December Revenue</t>
  </si>
  <si>
    <t>Q4 Total Revenue</t>
  </si>
  <si>
    <t>Cost Structure</t>
  </si>
  <si>
    <t>COGS % of Revenue</t>
  </si>
  <si>
    <t>Gross Margin %</t>
  </si>
  <si>
    <t>Operating Expenses (% of Revenue)</t>
  </si>
  <si>
    <t>Sales &amp; Marketing</t>
  </si>
  <si>
    <t>Fraud Prevention</t>
  </si>
  <si>
    <t>Technology</t>
  </si>
  <si>
    <t>G&amp;A</t>
  </si>
  <si>
    <t>Total OpEx %</t>
  </si>
  <si>
    <t>Q1 2025 Forecast</t>
  </si>
  <si>
    <t>Revenue Growth Rate</t>
  </si>
  <si>
    <t>Q1 2025 Revenue</t>
  </si>
  <si>
    <t>October</t>
  </si>
  <si>
    <t>November</t>
  </si>
  <si>
    <t>December</t>
  </si>
  <si>
    <t>Q4 Total</t>
  </si>
  <si>
    <t>PAYFLOW COMMERCE</t>
  </si>
  <si>
    <t>INCOME STATEMENT</t>
  </si>
  <si>
    <t>Q4 2024</t>
  </si>
  <si>
    <t>All figures in USD</t>
  </si>
  <si>
    <t>$</t>
  </si>
  <si>
    <t>Revenue</t>
  </si>
  <si>
    <t>COGS</t>
  </si>
  <si>
    <t>Gross Profit</t>
  </si>
  <si>
    <t>Operating Expenses:</t>
  </si>
  <si>
    <t>Total OpEx</t>
  </si>
  <si>
    <t>Operating Income</t>
  </si>
  <si>
    <t>Operating Margin %</t>
  </si>
  <si>
    <t>Fraud Losses</t>
  </si>
  <si>
    <t>Net Income</t>
  </si>
  <si>
    <t>Net Margin %</t>
  </si>
  <si>
    <t>Budget</t>
  </si>
  <si>
    <t>Actual</t>
  </si>
  <si>
    <t>Variance</t>
  </si>
  <si>
    <t>Variance %</t>
  </si>
  <si>
    <t>VARIANCE ANALYSIS</t>
  </si>
  <si>
    <t>%</t>
  </si>
  <si>
    <t>KEY INSIGHTS:</t>
  </si>
  <si>
    <t>Forecast Assumptions</t>
  </si>
  <si>
    <t>PAYFLOW COMMERCE - Q1 2025 FORECAST</t>
  </si>
  <si>
    <t>Q4 Revenue</t>
  </si>
  <si>
    <t>Sequential Growth</t>
  </si>
  <si>
    <t>Q1 Revenue Forecast</t>
  </si>
  <si>
    <t>Current Fraud Rate</t>
  </si>
  <si>
    <t>New Fraud Rate (with controls)</t>
  </si>
  <si>
    <t>COGS (70%)</t>
  </si>
  <si>
    <t>Operating Expenses (23%)</t>
  </si>
  <si>
    <t>Fraud Losses (1.3%)</t>
  </si>
  <si>
    <t>IMPROVEMENT VS Q4</t>
  </si>
  <si>
    <t>Improvement</t>
  </si>
  <si>
    <t>PAYFLOW COMMERCE - BALANCE SHEET (Q4 2024)</t>
  </si>
  <si>
    <t>ASSETS</t>
  </si>
  <si>
    <t>Cash</t>
  </si>
  <si>
    <t>Accounts Receivable</t>
  </si>
  <si>
    <t>Inventory</t>
  </si>
  <si>
    <t>Total Current Assets</t>
  </si>
  <si>
    <t>Fixed Assets</t>
  </si>
  <si>
    <t>Total Assets</t>
  </si>
  <si>
    <t>LIABILITIES</t>
  </si>
  <si>
    <t>Accounts Payable</t>
  </si>
  <si>
    <t>Accrued Expenses</t>
  </si>
  <si>
    <t>Total Liabilities</t>
  </si>
  <si>
    <t>EQUITY</t>
  </si>
  <si>
    <t>Common Stock</t>
  </si>
  <si>
    <t>Total Equity</t>
  </si>
  <si>
    <t>Total Liabilities &amp; Equity</t>
  </si>
  <si>
    <t>Beginning Retained Earnings</t>
  </si>
  <si>
    <t>Net Income (Q4 2024)</t>
  </si>
  <si>
    <t>PAYFLOW COMMERCE - CASH FLOW STATEMENT (Q4 2024)</t>
  </si>
  <si>
    <t>Cash Flow from Operating Activities</t>
  </si>
  <si>
    <t>Adjustments:</t>
  </si>
  <si>
    <t>Accounts Receivable (increase)</t>
  </si>
  <si>
    <t>Inventory (increase)</t>
  </si>
  <si>
    <t>Accounts Payable increase</t>
  </si>
  <si>
    <t>Accrued Expenses increase</t>
  </si>
  <si>
    <t>Net Cash from Operations</t>
  </si>
  <si>
    <t>Cash Flow from Investing Activities</t>
  </si>
  <si>
    <t>Purchase of Fixed Assets</t>
  </si>
  <si>
    <t>Net Cash from Investing</t>
  </si>
  <si>
    <t>Cash Flow from Financing Activities</t>
  </si>
  <si>
    <t/>
  </si>
  <si>
    <t>No financing activity</t>
  </si>
  <si>
    <t>Net Cash from Financing</t>
  </si>
  <si>
    <t>Net Change in Cash</t>
  </si>
  <si>
    <t>Beginning Cash</t>
  </si>
  <si>
    <t>Ending Cash</t>
  </si>
  <si>
    <t>Q1 25 Net Income</t>
  </si>
  <si>
    <t>Q4 24 Net Income</t>
  </si>
  <si>
    <t>Target Fraud Rate (Q1)</t>
  </si>
  <si>
    <t>Fraud Metrics</t>
  </si>
  <si>
    <t>Actual Fraud Rate (Q4 2024)</t>
  </si>
  <si>
    <t>Depreciation &amp; Amortization</t>
  </si>
  <si>
    <t>Fraud losses came in below budget - fraud prevention systems effective</t>
  </si>
  <si>
    <t>Net income $62K above budget (+20.4% favorable variance)</t>
  </si>
  <si>
    <t>Fraud Rate %</t>
  </si>
  <si>
    <t>Expected Improvement</t>
  </si>
  <si>
    <t xml:space="preserve">Q1 2025 PROJECTED INCOME STATEMENT </t>
  </si>
  <si>
    <t>KEY TAKEAWAYS:</t>
  </si>
  <si>
    <t>Q1 revenue projected at $7.48M (6% sequential growth)</t>
  </si>
  <si>
    <t>Improved fraud controls expected to reduce fraud rate from 1.83% to 1.5%</t>
  </si>
  <si>
    <t>Net margin forecast to improve to 5.5% (up from 5.2% in Q4)</t>
  </si>
  <si>
    <t>Operating leverage driving margin expansion despite modest revenue growth</t>
  </si>
  <si>
    <t>Operating income beat budget by 16.4% ($70K favorable variance)</t>
  </si>
  <si>
    <t>Gross profit increased proportionally (+16.4% or $299K)</t>
  </si>
  <si>
    <t>Revenue exceeded budget by 16.4% ($997K) due to strong December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</si>
</sst>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%"/>
    <numFmt numFmtId="166" formatCode="&quot;$&quot;#,##0;\(&quot;$&quot;#,##0\);\-"/>
    <numFmt numFmtId="167" formatCode="0.0%;\(0.0%\);\-"/>
    <numFmt numFmtId="168" formatCode="0.00%;\(0.00%\);\-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FF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sz val="9"/>
      <color theme="1"/>
      <name val="Calibri"/>
    </font>
    <font>
      <i/>
      <sz val="9"/>
      <color theme="1"/>
      <name val="Calibri"/>
    </font>
    <font>
      <sz val="11"/>
      <color rgb="FF008000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rgb="FF000000"/>
      <name val="Calibri"/>
      <family val="2"/>
    </font>
    <font>
      <sz val="11"/>
      <color theme="9" tint="-0.249977111117893"/>
      <name val="Calibri"/>
      <family val="2"/>
    </font>
    <font>
      <b/>
      <sz val="11"/>
      <color rgb="FF0000FF"/>
      <name val="Calibri"/>
      <family val="2"/>
    </font>
    <font>
      <b/>
      <sz val="11"/>
      <color theme="3" tint="9.9978637043366805E-2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11" fillId="0" borderId="1" xfId="0" applyNumberFormat="1" applyFont="1" applyBorder="1"/>
    <xf numFmtId="165" fontId="7" fillId="0" borderId="0" xfId="0" applyNumberFormat="1" applyFont="1"/>
    <xf numFmtId="165" fontId="11" fillId="0" borderId="1" xfId="0" applyNumberFormat="1" applyFont="1" applyBorder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/>
    <xf numFmtId="0" fontId="13" fillId="0" borderId="0" xfId="0" applyFont="1" applyAlignment="1">
      <alignment horizontal="center"/>
    </xf>
    <xf numFmtId="166" fontId="15" fillId="0" borderId="0" xfId="0" applyNumberFormat="1" applyFont="1"/>
    <xf numFmtId="166" fontId="10" fillId="0" borderId="0" xfId="0" applyNumberFormat="1" applyFont="1"/>
    <xf numFmtId="166" fontId="10" fillId="0" borderId="1" xfId="0" applyNumberFormat="1" applyFont="1" applyBorder="1"/>
    <xf numFmtId="0" fontId="16" fillId="0" borderId="0" xfId="0" applyFont="1"/>
    <xf numFmtId="167" fontId="10" fillId="0" borderId="0" xfId="0" applyNumberFormat="1" applyFont="1"/>
    <xf numFmtId="166" fontId="10" fillId="0" borderId="2" xfId="0" applyNumberFormat="1" applyFont="1" applyBorder="1"/>
    <xf numFmtId="0" fontId="17" fillId="0" borderId="0" xfId="0" applyFont="1"/>
    <xf numFmtId="166" fontId="7" fillId="0" borderId="0" xfId="0" applyNumberFormat="1" applyFont="1"/>
    <xf numFmtId="167" fontId="15" fillId="0" borderId="0" xfId="0" applyNumberFormat="1" applyFont="1"/>
    <xf numFmtId="166" fontId="11" fillId="0" borderId="1" xfId="0" applyNumberFormat="1" applyFont="1" applyBorder="1"/>
    <xf numFmtId="168" fontId="15" fillId="0" borderId="0" xfId="0" applyNumberFormat="1" applyFont="1"/>
    <xf numFmtId="166" fontId="11" fillId="0" borderId="2" xfId="0" applyNumberFormat="1" applyFont="1" applyBorder="1"/>
    <xf numFmtId="166" fontId="15" fillId="0" borderId="1" xfId="0" applyNumberFormat="1" applyFont="1" applyBorder="1"/>
    <xf numFmtId="166" fontId="11" fillId="0" borderId="0" xfId="0" applyNumberFormat="1" applyFont="1"/>
    <xf numFmtId="166" fontId="1" fillId="0" borderId="0" xfId="0" applyNumberFormat="1" applyFont="1"/>
    <xf numFmtId="166" fontId="18" fillId="0" borderId="1" xfId="0" applyNumberFormat="1" applyFont="1" applyBorder="1"/>
    <xf numFmtId="166" fontId="19" fillId="0" borderId="0" xfId="0" applyNumberFormat="1" applyFont="1"/>
    <xf numFmtId="165" fontId="20" fillId="2" borderId="0" xfId="0" applyNumberFormat="1" applyFont="1" applyFill="1"/>
    <xf numFmtId="167" fontId="21" fillId="2" borderId="0" xfId="0" applyNumberFormat="1" applyFont="1" applyFill="1"/>
    <xf numFmtId="0" fontId="22" fillId="0" borderId="0" xfId="0" applyFont="1"/>
    <xf numFmtId="0" fontId="23" fillId="0" borderId="0" xfId="0" applyFont="1"/>
    <xf numFmtId="165" fontId="0" fillId="0" borderId="0" xfId="0" applyNumberFormat="1"/>
    <xf numFmtId="0" fontId="24" fillId="0" borderId="0" xfId="0" applyFont="1"/>
    <xf numFmtId="10" fontId="0" fillId="0" borderId="0" xfId="0" applyNumberFormat="1"/>
    <xf numFmtId="0" fontId="26" fillId="0" borderId="0" xfId="0" applyFont="1"/>
    <xf numFmtId="165" fontId="7" fillId="0" borderId="0" xfId="1" applyNumberFormat="1" applyFont="1"/>
    <xf numFmtId="165" fontId="15" fillId="0" borderId="0" xfId="1" applyNumberFormat="1" applyFont="1"/>
    <xf numFmtId="165" fontId="10" fillId="0" borderId="0" xfId="1" applyNumberFormat="1" applyFont="1"/>
    <xf numFmtId="165" fontId="15" fillId="0" borderId="0" xfId="0" applyNumberFormat="1" applyFont="1"/>
    <xf numFmtId="165" fontId="10" fillId="0" borderId="0" xfId="0" applyNumberFormat="1" applyFont="1"/>
    <xf numFmtId="10" fontId="15" fillId="0" borderId="0" xfId="1" applyNumberFormat="1" applyFont="1"/>
    <xf numFmtId="10" fontId="10" fillId="0" borderId="0" xfId="1" applyNumberFormat="1" applyFont="1"/>
    <xf numFmtId="168" fontId="10" fillId="0" borderId="0" xfId="0" applyNumberFormat="1" applyFont="1"/>
    <xf numFmtId="167" fontId="24" fillId="0" borderId="0" xfId="0" applyNumberFormat="1" applyFont="1"/>
    <xf numFmtId="168" fontId="18" fillId="0" borderId="0" xfId="0" applyNumberFormat="1" applyFont="1"/>
    <xf numFmtId="10" fontId="18" fillId="0" borderId="0" xfId="1" applyNumberFormat="1" applyFont="1"/>
    <xf numFmtId="10" fontId="18" fillId="0" borderId="0" xfId="1" applyNumberFormat="1" applyFont="1" applyBorder="1"/>
    <xf numFmtId="168" fontId="7" fillId="0" borderId="0" xfId="1" applyNumberFormat="1" applyFont="1"/>
    <xf numFmtId="168" fontId="1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88EB9A-399D-40B8-89D5-6BF77045B871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6E0D-83E0-4EFB-B76A-DF5781771D29}">
  <dimension ref="A1:B34"/>
  <sheetViews>
    <sheetView zoomScale="90" zoomScaleNormal="90" workbookViewId="0">
      <pane ySplit="4" topLeftCell="A5" activePane="bottomLeft" state="frozen"/>
      <selection pane="bottomLeft" activeCell="B3" sqref="B3"/>
    </sheetView>
  </sheetViews>
  <sheetFormatPr defaultRowHeight="15" x14ac:dyDescent="0.25"/>
  <cols>
    <col min="1" max="1" width="74.7109375" bestFit="1" customWidth="1"/>
    <col min="2" max="2" width="22.85546875" customWidth="1"/>
  </cols>
  <sheetData>
    <row r="1" spans="1:2" ht="18.75" x14ac:dyDescent="0.3">
      <c r="A1" s="1" t="s">
        <v>0</v>
      </c>
    </row>
    <row r="2" spans="1:2" x14ac:dyDescent="0.25">
      <c r="A2" s="2" t="str">
        <f>REPT("=",75)</f>
        <v>===========================================================================</v>
      </c>
    </row>
    <row r="4" spans="1:2" ht="15.75" x14ac:dyDescent="0.25">
      <c r="A4" s="3" t="s">
        <v>1</v>
      </c>
    </row>
    <row r="6" spans="1:2" x14ac:dyDescent="0.25">
      <c r="A6" s="5" t="s">
        <v>2</v>
      </c>
    </row>
    <row r="8" spans="1:2" x14ac:dyDescent="0.25">
      <c r="A8" s="4" t="s">
        <v>3</v>
      </c>
      <c r="B8" s="6">
        <v>1954516</v>
      </c>
    </row>
    <row r="9" spans="1:2" x14ac:dyDescent="0.25">
      <c r="A9" s="4" t="s">
        <v>4</v>
      </c>
      <c r="B9" s="6">
        <v>2379298</v>
      </c>
    </row>
    <row r="10" spans="1:2" x14ac:dyDescent="0.25">
      <c r="A10" s="4" t="s">
        <v>5</v>
      </c>
      <c r="B10" s="6">
        <v>2722787</v>
      </c>
    </row>
    <row r="11" spans="1:2" x14ac:dyDescent="0.25">
      <c r="A11" s="5" t="s">
        <v>6</v>
      </c>
      <c r="B11" s="7">
        <f>B8+B9+B10</f>
        <v>7056601</v>
      </c>
    </row>
    <row r="13" spans="1:2" x14ac:dyDescent="0.25">
      <c r="A13" s="5" t="s">
        <v>7</v>
      </c>
    </row>
    <row r="15" spans="1:2" x14ac:dyDescent="0.25">
      <c r="A15" s="4" t="s">
        <v>8</v>
      </c>
      <c r="B15" s="8">
        <v>0.7</v>
      </c>
    </row>
    <row r="16" spans="1:2" x14ac:dyDescent="0.25">
      <c r="A16" s="4" t="s">
        <v>9</v>
      </c>
      <c r="B16" s="8">
        <v>0.3</v>
      </c>
    </row>
    <row r="18" spans="1:2" x14ac:dyDescent="0.25">
      <c r="A18" s="5" t="s">
        <v>10</v>
      </c>
    </row>
    <row r="20" spans="1:2" x14ac:dyDescent="0.25">
      <c r="A20" s="4" t="s">
        <v>11</v>
      </c>
      <c r="B20" s="8">
        <v>0.1</v>
      </c>
    </row>
    <row r="21" spans="1:2" x14ac:dyDescent="0.25">
      <c r="A21" s="4" t="s">
        <v>12</v>
      </c>
      <c r="B21" s="8">
        <v>0.02</v>
      </c>
    </row>
    <row r="22" spans="1:2" x14ac:dyDescent="0.25">
      <c r="A22" s="4" t="s">
        <v>13</v>
      </c>
      <c r="B22" s="8">
        <v>0.05</v>
      </c>
    </row>
    <row r="23" spans="1:2" x14ac:dyDescent="0.25">
      <c r="A23" s="4" t="s">
        <v>14</v>
      </c>
      <c r="B23" s="8">
        <v>0.06</v>
      </c>
    </row>
    <row r="24" spans="1:2" x14ac:dyDescent="0.25">
      <c r="A24" s="5" t="s">
        <v>15</v>
      </c>
      <c r="B24" s="9">
        <f>B20+B21+B22+B23</f>
        <v>0.23</v>
      </c>
    </row>
    <row r="26" spans="1:2" x14ac:dyDescent="0.25">
      <c r="A26" s="36" t="s">
        <v>96</v>
      </c>
    </row>
    <row r="27" spans="1:2" x14ac:dyDescent="0.25">
      <c r="A27" s="4"/>
    </row>
    <row r="28" spans="1:2" x14ac:dyDescent="0.25">
      <c r="A28" s="4" t="s">
        <v>97</v>
      </c>
      <c r="B28" s="37">
        <v>1.83E-2</v>
      </c>
    </row>
    <row r="29" spans="1:2" x14ac:dyDescent="0.25">
      <c r="A29" s="4"/>
    </row>
    <row r="30" spans="1:2" x14ac:dyDescent="0.25">
      <c r="A30" s="5" t="s">
        <v>16</v>
      </c>
    </row>
    <row r="32" spans="1:2" x14ac:dyDescent="0.25">
      <c r="A32" s="4" t="s">
        <v>17</v>
      </c>
      <c r="B32" s="31">
        <v>0.06</v>
      </c>
    </row>
    <row r="33" spans="1:2" x14ac:dyDescent="0.25">
      <c r="A33" s="4" t="s">
        <v>18</v>
      </c>
      <c r="B33" s="6">
        <v>7480000</v>
      </c>
    </row>
    <row r="34" spans="1:2" x14ac:dyDescent="0.25">
      <c r="A34" t="s">
        <v>95</v>
      </c>
      <c r="B34" s="35">
        <v>1.4999999999999999E-2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8FD8-2E34-4EE4-BB13-3D00AAC2ED0F}">
  <dimension ref="A1:E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" sqref="G1"/>
    </sheetView>
  </sheetViews>
  <sheetFormatPr defaultRowHeight="15" x14ac:dyDescent="0.25"/>
  <cols>
    <col min="1" max="1" width="38.140625" customWidth="1"/>
    <col min="2" max="5" width="21" customWidth="1"/>
  </cols>
  <sheetData>
    <row r="1" spans="1:5" x14ac:dyDescent="0.25">
      <c r="A1" s="5" t="s">
        <v>23</v>
      </c>
      <c r="B1" s="10" t="s">
        <v>19</v>
      </c>
      <c r="C1" s="10" t="s">
        <v>20</v>
      </c>
      <c r="D1" s="10" t="s">
        <v>21</v>
      </c>
      <c r="E1" s="10" t="s">
        <v>22</v>
      </c>
    </row>
    <row r="2" spans="1:5" x14ac:dyDescent="0.25">
      <c r="A2" s="5" t="s">
        <v>24</v>
      </c>
      <c r="B2" s="11" t="s">
        <v>25</v>
      </c>
      <c r="C2" s="11" t="s">
        <v>25</v>
      </c>
      <c r="D2" s="11" t="s">
        <v>25</v>
      </c>
      <c r="E2" s="11" t="s">
        <v>25</v>
      </c>
    </row>
    <row r="3" spans="1:5" x14ac:dyDescent="0.25">
      <c r="A3" s="12" t="s">
        <v>26</v>
      </c>
      <c r="B3" s="13" t="s">
        <v>27</v>
      </c>
      <c r="C3" s="13" t="s">
        <v>27</v>
      </c>
      <c r="D3" s="13" t="s">
        <v>27</v>
      </c>
      <c r="E3" s="13" t="s">
        <v>27</v>
      </c>
    </row>
    <row r="5" spans="1:5" x14ac:dyDescent="0.25">
      <c r="A5" s="5" t="s">
        <v>28</v>
      </c>
      <c r="B5" s="14">
        <f>Assumptions!B8</f>
        <v>1954516</v>
      </c>
      <c r="C5" s="14">
        <f>Assumptions!B9</f>
        <v>2379298</v>
      </c>
      <c r="D5" s="14">
        <f>Assumptions!B10</f>
        <v>2722787</v>
      </c>
      <c r="E5" s="15">
        <f>SUM(B5:D5)</f>
        <v>7056601</v>
      </c>
    </row>
    <row r="6" spans="1:5" x14ac:dyDescent="0.25">
      <c r="A6" s="5" t="s">
        <v>29</v>
      </c>
      <c r="B6" s="14">
        <f>B5*Assumptions!$B$15</f>
        <v>1368161.2</v>
      </c>
      <c r="C6" s="14">
        <f>C5*Assumptions!$B$15</f>
        <v>1665508.5999999999</v>
      </c>
      <c r="D6" s="14">
        <f>D5*Assumptions!$B$15</f>
        <v>1905950.9</v>
      </c>
      <c r="E6" s="15">
        <f>SUM(B6:D6)</f>
        <v>4939620.6999999993</v>
      </c>
    </row>
    <row r="7" spans="1:5" x14ac:dyDescent="0.25">
      <c r="A7" s="5" t="s">
        <v>30</v>
      </c>
      <c r="B7" s="16">
        <f>B5-B6</f>
        <v>586354.80000000005</v>
      </c>
      <c r="C7" s="16">
        <f>C5-C6</f>
        <v>713789.40000000014</v>
      </c>
      <c r="D7" s="16">
        <f>D5-D6</f>
        <v>816836.10000000009</v>
      </c>
      <c r="E7" s="16">
        <f>SUM(B7:D7)</f>
        <v>2116980.3000000003</v>
      </c>
    </row>
    <row r="8" spans="1:5" x14ac:dyDescent="0.25">
      <c r="A8" s="17" t="s">
        <v>9</v>
      </c>
      <c r="B8" s="46">
        <f>B7/B5</f>
        <v>0.30000000000000004</v>
      </c>
      <c r="C8" s="46">
        <f>C7/C5</f>
        <v>0.30000000000000004</v>
      </c>
      <c r="D8" s="46">
        <f>D7/D5</f>
        <v>0.30000000000000004</v>
      </c>
      <c r="E8" s="46">
        <f>E7/E5</f>
        <v>0.30000000000000004</v>
      </c>
    </row>
    <row r="10" spans="1:5" x14ac:dyDescent="0.25">
      <c r="A10" s="5" t="s">
        <v>31</v>
      </c>
    </row>
    <row r="11" spans="1:5" x14ac:dyDescent="0.25">
      <c r="A11" s="5" t="s">
        <v>11</v>
      </c>
      <c r="B11" s="14">
        <f>B5*Assumptions!$B$20</f>
        <v>195451.6</v>
      </c>
      <c r="C11" s="14">
        <f>C5*Assumptions!$B$20</f>
        <v>237929.80000000002</v>
      </c>
      <c r="D11" s="14">
        <f>D5*Assumptions!$B$20</f>
        <v>272278.7</v>
      </c>
      <c r="E11" s="15">
        <f>SUM(B11:D11)</f>
        <v>705660.10000000009</v>
      </c>
    </row>
    <row r="12" spans="1:5" x14ac:dyDescent="0.25">
      <c r="A12" s="5" t="s">
        <v>12</v>
      </c>
      <c r="B12" s="14">
        <f>B5*Assumptions!$B$21</f>
        <v>39090.32</v>
      </c>
      <c r="C12" s="14">
        <f>C5*Assumptions!$B$21</f>
        <v>47585.96</v>
      </c>
      <c r="D12" s="14">
        <f>D5*Assumptions!$B$21</f>
        <v>54455.74</v>
      </c>
      <c r="E12" s="15">
        <f>SUM(B12:D12)</f>
        <v>141132.01999999999</v>
      </c>
    </row>
    <row r="13" spans="1:5" x14ac:dyDescent="0.25">
      <c r="A13" s="5" t="s">
        <v>13</v>
      </c>
      <c r="B13" s="14">
        <f>B5*Assumptions!$B$22</f>
        <v>97725.8</v>
      </c>
      <c r="C13" s="14">
        <f>C5*Assumptions!$B$22</f>
        <v>118964.90000000001</v>
      </c>
      <c r="D13" s="14">
        <f>D5*Assumptions!$B$22</f>
        <v>136139.35</v>
      </c>
      <c r="E13" s="15">
        <f>SUM(B13:D13)</f>
        <v>352830.05000000005</v>
      </c>
    </row>
    <row r="14" spans="1:5" x14ac:dyDescent="0.25">
      <c r="A14" s="5" t="s">
        <v>14</v>
      </c>
      <c r="B14" s="14">
        <f>B5*Assumptions!$B$23</f>
        <v>117270.95999999999</v>
      </c>
      <c r="C14" s="14">
        <f>C5*Assumptions!$B$23</f>
        <v>142757.88</v>
      </c>
      <c r="D14" s="14">
        <f>D5*Assumptions!$B$23</f>
        <v>163367.22</v>
      </c>
      <c r="E14" s="15">
        <f>SUM(B14:D14)</f>
        <v>423396.06</v>
      </c>
    </row>
    <row r="15" spans="1:5" x14ac:dyDescent="0.25">
      <c r="A15" s="5" t="s">
        <v>32</v>
      </c>
      <c r="B15" s="16">
        <f>SUM(B11:B14)</f>
        <v>449538.68000000005</v>
      </c>
      <c r="C15" s="16">
        <f>SUM(C11:C14)</f>
        <v>547238.54</v>
      </c>
      <c r="D15" s="16">
        <f>SUM(D11:D14)</f>
        <v>626241.01</v>
      </c>
      <c r="E15" s="16">
        <f>SUM(B15:D15)</f>
        <v>1623018.23</v>
      </c>
    </row>
    <row r="17" spans="1:5" x14ac:dyDescent="0.25">
      <c r="A17" s="5" t="s">
        <v>33</v>
      </c>
      <c r="B17" s="16">
        <f>B7-B15</f>
        <v>136816.12</v>
      </c>
      <c r="C17" s="16">
        <f>C7-C15</f>
        <v>166550.8600000001</v>
      </c>
      <c r="D17" s="16">
        <f>D7-D15</f>
        <v>190595.09000000008</v>
      </c>
      <c r="E17" s="16">
        <f>SUM(B17:D17)</f>
        <v>493962.07000000018</v>
      </c>
    </row>
    <row r="18" spans="1:5" x14ac:dyDescent="0.25">
      <c r="A18" s="17" t="s">
        <v>34</v>
      </c>
      <c r="B18" s="46">
        <f>B17/B5</f>
        <v>6.9999999999999993E-2</v>
      </c>
      <c r="C18" s="46">
        <f>C17/C5</f>
        <v>7.0000000000000048E-2</v>
      </c>
      <c r="D18" s="46">
        <f>D17/D5</f>
        <v>7.0000000000000034E-2</v>
      </c>
      <c r="E18" s="46">
        <f>E17/E5</f>
        <v>7.0000000000000021E-2</v>
      </c>
    </row>
    <row r="19" spans="1:5" x14ac:dyDescent="0.25">
      <c r="A19" s="17"/>
      <c r="B19" s="18"/>
      <c r="C19" s="18"/>
      <c r="D19" s="18"/>
      <c r="E19" s="18"/>
    </row>
    <row r="20" spans="1:5" x14ac:dyDescent="0.25">
      <c r="A20" s="5" t="s">
        <v>35</v>
      </c>
      <c r="B20" s="14">
        <f>B5*Assumptions!$B$28</f>
        <v>35767.642800000001</v>
      </c>
      <c r="C20" s="14">
        <f>C5*Assumptions!$B$28</f>
        <v>43541.153400000003</v>
      </c>
      <c r="D20" s="14">
        <f>D5*Assumptions!$B$28</f>
        <v>49827.002099999998</v>
      </c>
      <c r="E20" s="15">
        <f>SUM(B20:D20)</f>
        <v>129135.79830000001</v>
      </c>
    </row>
    <row r="21" spans="1:5" x14ac:dyDescent="0.25">
      <c r="A21" s="4"/>
      <c r="B21" s="14"/>
      <c r="C21" s="14"/>
      <c r="D21" s="14"/>
      <c r="E21" s="15"/>
    </row>
    <row r="22" spans="1:5" ht="15.75" thickBot="1" x14ac:dyDescent="0.3">
      <c r="A22" s="5" t="s">
        <v>36</v>
      </c>
      <c r="B22" s="19">
        <f>B17-B20</f>
        <v>101048.47719999999</v>
      </c>
      <c r="C22" s="19">
        <f>C17-C20</f>
        <v>123009.70660000009</v>
      </c>
      <c r="D22" s="19">
        <f>D17-D20</f>
        <v>140768.0879000001</v>
      </c>
      <c r="E22" s="19">
        <f>SUM(B22:D22)</f>
        <v>364826.27170000016</v>
      </c>
    </row>
    <row r="23" spans="1:5" ht="15.75" thickTop="1" x14ac:dyDescent="0.25">
      <c r="A23" s="33" t="s">
        <v>37</v>
      </c>
      <c r="B23" s="46">
        <f>B22/B5</f>
        <v>5.1699999999999996E-2</v>
      </c>
      <c r="C23" s="46">
        <f>C22/C5</f>
        <v>5.1700000000000038E-2</v>
      </c>
      <c r="D23" s="46">
        <f>D22/D5</f>
        <v>5.1700000000000038E-2</v>
      </c>
      <c r="E23" s="46">
        <f>E22/E5</f>
        <v>5.1700000000000024E-2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6A83-FB50-4363-B882-483F78DE5EFF}">
  <dimension ref="A1:B27"/>
  <sheetViews>
    <sheetView workbookViewId="0">
      <pane ySplit="2" topLeftCell="A3" activePane="bottomLeft" state="frozen"/>
      <selection pane="bottomLeft" activeCell="D25" sqref="D25"/>
    </sheetView>
  </sheetViews>
  <sheetFormatPr defaultRowHeight="15" x14ac:dyDescent="0.25"/>
  <cols>
    <col min="1" max="1" width="41.85546875" customWidth="1"/>
    <col min="2" max="2" width="22.85546875" customWidth="1"/>
  </cols>
  <sheetData>
    <row r="1" spans="1:2" ht="15.75" x14ac:dyDescent="0.25">
      <c r="A1" s="3" t="s">
        <v>57</v>
      </c>
    </row>
    <row r="2" spans="1:2" x14ac:dyDescent="0.25">
      <c r="A2" s="12" t="s">
        <v>26</v>
      </c>
    </row>
    <row r="4" spans="1:2" x14ac:dyDescent="0.25">
      <c r="A4" s="5" t="s">
        <v>58</v>
      </c>
    </row>
    <row r="6" spans="1:2" x14ac:dyDescent="0.25">
      <c r="A6" s="4" t="s">
        <v>59</v>
      </c>
      <c r="B6" s="30">
        <f>'Cash Flow'!B26</f>
        <v>1264826.2717000002</v>
      </c>
    </row>
    <row r="7" spans="1:2" x14ac:dyDescent="0.25">
      <c r="A7" s="4" t="s">
        <v>60</v>
      </c>
      <c r="B7" s="21">
        <v>450000</v>
      </c>
    </row>
    <row r="8" spans="1:2" x14ac:dyDescent="0.25">
      <c r="A8" s="4" t="s">
        <v>61</v>
      </c>
      <c r="B8" s="21">
        <v>200000</v>
      </c>
    </row>
    <row r="9" spans="1:2" x14ac:dyDescent="0.25">
      <c r="A9" s="5" t="s">
        <v>62</v>
      </c>
      <c r="B9" s="16">
        <f>SUM(B6:B8)</f>
        <v>1914826.2717000002</v>
      </c>
    </row>
    <row r="11" spans="1:2" x14ac:dyDescent="0.25">
      <c r="A11" s="4" t="s">
        <v>63</v>
      </c>
      <c r="B11" s="21">
        <v>300000</v>
      </c>
    </row>
    <row r="12" spans="1:2" ht="15.75" thickBot="1" x14ac:dyDescent="0.3">
      <c r="A12" s="5" t="s">
        <v>64</v>
      </c>
      <c r="B12" s="25">
        <f>B9+B11</f>
        <v>2214826.2717000004</v>
      </c>
    </row>
    <row r="13" spans="1:2" ht="15.75" thickTop="1" x14ac:dyDescent="0.25"/>
    <row r="14" spans="1:2" x14ac:dyDescent="0.25">
      <c r="A14" s="5" t="s">
        <v>65</v>
      </c>
    </row>
    <row r="16" spans="1:2" x14ac:dyDescent="0.25">
      <c r="A16" s="4" t="s">
        <v>66</v>
      </c>
      <c r="B16" s="21">
        <v>350000</v>
      </c>
    </row>
    <row r="17" spans="1:2" x14ac:dyDescent="0.25">
      <c r="A17" s="4" t="s">
        <v>67</v>
      </c>
      <c r="B17" s="21">
        <v>150000</v>
      </c>
    </row>
    <row r="18" spans="1:2" x14ac:dyDescent="0.25">
      <c r="A18" s="5" t="s">
        <v>68</v>
      </c>
      <c r="B18" s="16">
        <f>SUM(B16:B17)</f>
        <v>500000</v>
      </c>
    </row>
    <row r="20" spans="1:2" x14ac:dyDescent="0.25">
      <c r="A20" s="5" t="s">
        <v>69</v>
      </c>
    </row>
    <row r="22" spans="1:2" x14ac:dyDescent="0.25">
      <c r="A22" s="4" t="s">
        <v>70</v>
      </c>
      <c r="B22" s="21">
        <v>1000000</v>
      </c>
    </row>
    <row r="23" spans="1:2" x14ac:dyDescent="0.25">
      <c r="A23" s="4" t="s">
        <v>73</v>
      </c>
      <c r="B23" s="15">
        <f>B12-B18-B22-B24</f>
        <v>350000.00000000023</v>
      </c>
    </row>
    <row r="24" spans="1:2" x14ac:dyDescent="0.25">
      <c r="A24" s="5" t="s">
        <v>74</v>
      </c>
      <c r="B24" s="26">
        <f>'Income Statement'!E22</f>
        <v>364826.27170000016</v>
      </c>
    </row>
    <row r="25" spans="1:2" x14ac:dyDescent="0.25">
      <c r="A25" s="5" t="s">
        <v>71</v>
      </c>
      <c r="B25" s="23">
        <f>SUM(B22:B24)</f>
        <v>1714826.2717000004</v>
      </c>
    </row>
    <row r="26" spans="1:2" ht="15.75" thickBot="1" x14ac:dyDescent="0.3">
      <c r="A26" s="5" t="s">
        <v>72</v>
      </c>
      <c r="B26" s="25">
        <f>B18+B25</f>
        <v>2214826.2717000004</v>
      </c>
    </row>
    <row r="27" spans="1:2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2818-B6FD-4E12-AFF0-A3F50383FE36}">
  <dimension ref="A1:B26"/>
  <sheetViews>
    <sheetView workbookViewId="0">
      <selection activeCell="G26" sqref="G26"/>
    </sheetView>
  </sheetViews>
  <sheetFormatPr defaultRowHeight="15" x14ac:dyDescent="0.25"/>
  <cols>
    <col min="1" max="1" width="59.85546875" bestFit="1" customWidth="1"/>
    <col min="2" max="2" width="10" bestFit="1" customWidth="1"/>
  </cols>
  <sheetData>
    <row r="1" spans="1:2" ht="15.75" x14ac:dyDescent="0.25">
      <c r="A1" s="3" t="s">
        <v>75</v>
      </c>
    </row>
    <row r="2" spans="1:2" x14ac:dyDescent="0.25">
      <c r="A2" s="12" t="s">
        <v>26</v>
      </c>
    </row>
    <row r="4" spans="1:2" x14ac:dyDescent="0.25">
      <c r="A4" s="5" t="s">
        <v>76</v>
      </c>
    </row>
    <row r="6" spans="1:2" x14ac:dyDescent="0.25">
      <c r="A6" s="4" t="s">
        <v>36</v>
      </c>
      <c r="B6" s="14">
        <f>'Income Statement'!E22</f>
        <v>364826.27170000016</v>
      </c>
    </row>
    <row r="8" spans="1:2" x14ac:dyDescent="0.25">
      <c r="A8" s="33" t="s">
        <v>77</v>
      </c>
    </row>
    <row r="9" spans="1:2" x14ac:dyDescent="0.25">
      <c r="A9" s="34" t="s">
        <v>98</v>
      </c>
      <c r="B9" s="21">
        <v>15000</v>
      </c>
    </row>
    <row r="10" spans="1:2" x14ac:dyDescent="0.25">
      <c r="A10" s="4" t="s">
        <v>78</v>
      </c>
      <c r="B10" s="21">
        <v>-50000</v>
      </c>
    </row>
    <row r="11" spans="1:2" x14ac:dyDescent="0.25">
      <c r="A11" s="4" t="s">
        <v>79</v>
      </c>
      <c r="B11" s="21">
        <v>-30000</v>
      </c>
    </row>
    <row r="12" spans="1:2" x14ac:dyDescent="0.25">
      <c r="A12" s="4" t="s">
        <v>80</v>
      </c>
      <c r="B12" s="21">
        <v>40000</v>
      </c>
    </row>
    <row r="13" spans="1:2" x14ac:dyDescent="0.25">
      <c r="A13" s="4" t="s">
        <v>81</v>
      </c>
      <c r="B13" s="21">
        <v>25000</v>
      </c>
    </row>
    <row r="14" spans="1:2" x14ac:dyDescent="0.25">
      <c r="A14" s="5" t="s">
        <v>82</v>
      </c>
      <c r="B14" s="23">
        <f>SUM(B6:B13)</f>
        <v>364826.27170000016</v>
      </c>
    </row>
    <row r="16" spans="1:2" x14ac:dyDescent="0.25">
      <c r="A16" s="5" t="s">
        <v>83</v>
      </c>
    </row>
    <row r="17" spans="1:2" x14ac:dyDescent="0.25">
      <c r="A17" s="4" t="s">
        <v>84</v>
      </c>
      <c r="B17" s="21">
        <v>-100000</v>
      </c>
    </row>
    <row r="18" spans="1:2" x14ac:dyDescent="0.25">
      <c r="A18" s="5" t="s">
        <v>85</v>
      </c>
      <c r="B18" s="23">
        <f>B17</f>
        <v>-100000</v>
      </c>
    </row>
    <row r="20" spans="1:2" x14ac:dyDescent="0.25">
      <c r="A20" s="5" t="s">
        <v>86</v>
      </c>
      <c r="B20" s="27" t="s">
        <v>87</v>
      </c>
    </row>
    <row r="21" spans="1:2" x14ac:dyDescent="0.25">
      <c r="A21" t="s">
        <v>88</v>
      </c>
      <c r="B21">
        <v>0</v>
      </c>
    </row>
    <row r="22" spans="1:2" x14ac:dyDescent="0.25">
      <c r="A22" s="5" t="s">
        <v>89</v>
      </c>
      <c r="B22">
        <f>B21</f>
        <v>0</v>
      </c>
    </row>
    <row r="23" spans="1:2" x14ac:dyDescent="0.25">
      <c r="A23" s="5"/>
    </row>
    <row r="24" spans="1:2" x14ac:dyDescent="0.25">
      <c r="A24" t="s">
        <v>90</v>
      </c>
      <c r="B24" s="28">
        <f>B14+B18+B22</f>
        <v>264826.27170000016</v>
      </c>
    </row>
    <row r="25" spans="1:2" x14ac:dyDescent="0.25">
      <c r="A25" s="4" t="s">
        <v>91</v>
      </c>
      <c r="B25" s="21">
        <v>1000000</v>
      </c>
    </row>
    <row r="26" spans="1:2" x14ac:dyDescent="0.25">
      <c r="A26" s="5" t="s">
        <v>92</v>
      </c>
      <c r="B26" s="29">
        <f>B24+B25</f>
        <v>1264826.2717000002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05A2-9FEB-43E4-A3FF-5D9FF24C4536}">
  <dimension ref="A1:E2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1" sqref="J21"/>
    </sheetView>
  </sheetViews>
  <sheetFormatPr defaultRowHeight="15" x14ac:dyDescent="0.25"/>
  <cols>
    <col min="1" max="1" width="66.140625" bestFit="1" customWidth="1"/>
    <col min="2" max="5" width="21" customWidth="1"/>
  </cols>
  <sheetData>
    <row r="1" spans="1:5" x14ac:dyDescent="0.25">
      <c r="A1" s="5" t="s">
        <v>23</v>
      </c>
      <c r="B1" s="10" t="s">
        <v>38</v>
      </c>
      <c r="C1" s="10" t="s">
        <v>39</v>
      </c>
      <c r="D1" s="10" t="s">
        <v>40</v>
      </c>
      <c r="E1" s="10" t="s">
        <v>41</v>
      </c>
    </row>
    <row r="2" spans="1:5" x14ac:dyDescent="0.25">
      <c r="A2" s="5" t="s">
        <v>42</v>
      </c>
      <c r="B2" s="11" t="s">
        <v>25</v>
      </c>
      <c r="C2" s="11" t="s">
        <v>25</v>
      </c>
      <c r="D2" s="11" t="s">
        <v>27</v>
      </c>
      <c r="E2" s="11" t="s">
        <v>43</v>
      </c>
    </row>
    <row r="5" spans="1:5" x14ac:dyDescent="0.25">
      <c r="A5" s="5" t="s">
        <v>28</v>
      </c>
      <c r="B5" s="21">
        <v>6060000</v>
      </c>
      <c r="C5" s="14">
        <f>'Income Statement'!E5</f>
        <v>7056601</v>
      </c>
      <c r="D5" s="15">
        <f>C5-B5</f>
        <v>996601</v>
      </c>
      <c r="E5" s="18">
        <f>D5/B5</f>
        <v>0.16445561056105609</v>
      </c>
    </row>
    <row r="6" spans="1:5" x14ac:dyDescent="0.25">
      <c r="A6" s="5"/>
      <c r="B6" s="21"/>
      <c r="C6" s="14"/>
      <c r="D6" s="15"/>
      <c r="E6" s="18"/>
    </row>
    <row r="7" spans="1:5" x14ac:dyDescent="0.25">
      <c r="A7" s="5" t="s">
        <v>30</v>
      </c>
      <c r="B7" s="21">
        <v>1818000</v>
      </c>
      <c r="C7" s="14">
        <f>'Income Statement'!E7</f>
        <v>2116980.3000000003</v>
      </c>
      <c r="D7" s="15">
        <f>C7-B7</f>
        <v>298980.30000000028</v>
      </c>
      <c r="E7" s="18">
        <f>D7/B7</f>
        <v>0.16445561056105626</v>
      </c>
    </row>
    <row r="8" spans="1:5" x14ac:dyDescent="0.25">
      <c r="A8" s="36" t="s">
        <v>9</v>
      </c>
      <c r="B8" s="39">
        <v>0.3</v>
      </c>
      <c r="C8" s="42">
        <f>'Income Statement'!E8</f>
        <v>0.30000000000000004</v>
      </c>
      <c r="D8" s="43">
        <f>C8-B8</f>
        <v>0</v>
      </c>
      <c r="E8" s="43">
        <f>D8/B8</f>
        <v>0</v>
      </c>
    </row>
    <row r="9" spans="1:5" x14ac:dyDescent="0.25">
      <c r="A9" s="5"/>
      <c r="B9" s="21"/>
      <c r="C9" s="14"/>
      <c r="D9" s="15"/>
      <c r="E9" s="18"/>
    </row>
    <row r="10" spans="1:5" x14ac:dyDescent="0.25">
      <c r="A10" s="5" t="s">
        <v>33</v>
      </c>
      <c r="B10" s="21">
        <v>424200</v>
      </c>
      <c r="C10" s="14">
        <f>'Income Statement'!E17</f>
        <v>493962.07000000018</v>
      </c>
      <c r="D10" s="15">
        <f>C10-B10</f>
        <v>69762.070000000182</v>
      </c>
      <c r="E10" s="18">
        <f>D10/B10</f>
        <v>0.16445561056105654</v>
      </c>
    </row>
    <row r="11" spans="1:5" x14ac:dyDescent="0.25">
      <c r="A11" s="36" t="s">
        <v>34</v>
      </c>
      <c r="B11" s="39">
        <v>7.0000000000000007E-2</v>
      </c>
      <c r="C11" s="40">
        <f>'Income Statement'!E18</f>
        <v>7.0000000000000021E-2</v>
      </c>
      <c r="D11" s="41">
        <f>C11-B11</f>
        <v>0</v>
      </c>
      <c r="E11" s="41">
        <f>D11/B11</f>
        <v>0</v>
      </c>
    </row>
    <row r="12" spans="1:5" x14ac:dyDescent="0.25">
      <c r="A12" s="5"/>
      <c r="B12" s="21"/>
      <c r="C12" s="14"/>
      <c r="D12" s="15"/>
      <c r="E12" s="18"/>
    </row>
    <row r="13" spans="1:5" x14ac:dyDescent="0.25">
      <c r="A13" s="5" t="s">
        <v>35</v>
      </c>
      <c r="B13" s="21">
        <v>-121200</v>
      </c>
      <c r="C13" s="14">
        <f>-'Income Statement'!E20</f>
        <v>-129135.79830000001</v>
      </c>
      <c r="D13" s="15">
        <f>C13-B13</f>
        <v>-7935.7983000000095</v>
      </c>
      <c r="E13" s="18">
        <f>D13/B13</f>
        <v>6.5476883663366417E-2</v>
      </c>
    </row>
    <row r="14" spans="1:5" x14ac:dyDescent="0.25">
      <c r="A14" s="36" t="s">
        <v>101</v>
      </c>
      <c r="B14" s="51">
        <v>0.02</v>
      </c>
      <c r="C14" s="44">
        <f>ABS(C13/C5)</f>
        <v>1.83E-2</v>
      </c>
      <c r="D14" s="45">
        <f>C14-B14</f>
        <v>-1.7000000000000001E-3</v>
      </c>
      <c r="E14" s="46">
        <f>D14/B14</f>
        <v>-8.5000000000000006E-2</v>
      </c>
    </row>
    <row r="15" spans="1:5" x14ac:dyDescent="0.25">
      <c r="A15" s="5"/>
      <c r="B15" s="21"/>
      <c r="C15" s="14"/>
      <c r="D15" s="15"/>
      <c r="E15" s="18"/>
    </row>
    <row r="16" spans="1:5" x14ac:dyDescent="0.25">
      <c r="A16" s="5" t="s">
        <v>36</v>
      </c>
      <c r="B16" s="21">
        <v>303000</v>
      </c>
      <c r="C16" s="14">
        <f>'Income Statement'!E22</f>
        <v>364826.27170000016</v>
      </c>
      <c r="D16" s="15">
        <f>C16-B16</f>
        <v>61826.271700000158</v>
      </c>
      <c r="E16" s="18">
        <f>D16/B16</f>
        <v>0.20404710132013254</v>
      </c>
    </row>
    <row r="17" spans="1:5" x14ac:dyDescent="0.25">
      <c r="A17" s="36" t="s">
        <v>37</v>
      </c>
      <c r="B17" s="51">
        <v>0.05</v>
      </c>
      <c r="C17" s="44">
        <f>'Income Statement'!E23</f>
        <v>5.1700000000000024E-2</v>
      </c>
      <c r="D17" s="45">
        <f>C17-B17</f>
        <v>1.7000000000000209E-3</v>
      </c>
      <c r="E17" s="52">
        <f>D17/B17</f>
        <v>3.4000000000000419E-2</v>
      </c>
    </row>
    <row r="19" spans="1:5" x14ac:dyDescent="0.25">
      <c r="A19" s="5" t="s">
        <v>44</v>
      </c>
    </row>
    <row r="20" spans="1:5" x14ac:dyDescent="0.25">
      <c r="A20" s="38" t="s">
        <v>111</v>
      </c>
    </row>
    <row r="21" spans="1:5" x14ac:dyDescent="0.25">
      <c r="A21" s="38" t="s">
        <v>110</v>
      </c>
    </row>
    <row r="22" spans="1:5" x14ac:dyDescent="0.25">
      <c r="A22" s="38" t="s">
        <v>109</v>
      </c>
    </row>
    <row r="23" spans="1:5" x14ac:dyDescent="0.25">
      <c r="A23" s="38" t="s">
        <v>99</v>
      </c>
    </row>
    <row r="24" spans="1:5" x14ac:dyDescent="0.25">
      <c r="A24" s="38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B08B-55FE-411D-B78C-E70EFFC243E1}">
  <dimension ref="A1:B41"/>
  <sheetViews>
    <sheetView tabSelected="1" zoomScale="90" zoomScaleNormal="90" workbookViewId="0">
      <pane ySplit="4" topLeftCell="A5" activePane="bottomLeft" state="frozen"/>
      <selection pane="bottomLeft" activeCell="E36" sqref="E36"/>
    </sheetView>
  </sheetViews>
  <sheetFormatPr defaultRowHeight="15" x14ac:dyDescent="0.25"/>
  <cols>
    <col min="1" max="1" width="71.7109375" bestFit="1" customWidth="1"/>
    <col min="2" max="2" width="22.85546875" customWidth="1"/>
  </cols>
  <sheetData>
    <row r="1" spans="1:2" ht="18.75" x14ac:dyDescent="0.3">
      <c r="A1" s="1" t="s">
        <v>46</v>
      </c>
    </row>
    <row r="2" spans="1:2" x14ac:dyDescent="0.25">
      <c r="A2" s="2" t="str">
        <f>REPT("=",72)</f>
        <v>========================================================================</v>
      </c>
    </row>
    <row r="3" spans="1:2" x14ac:dyDescent="0.25">
      <c r="A3" t="s">
        <v>45</v>
      </c>
    </row>
    <row r="4" spans="1:2" x14ac:dyDescent="0.25">
      <c r="A4" s="5" t="s">
        <v>1</v>
      </c>
    </row>
    <row r="6" spans="1:2" x14ac:dyDescent="0.25">
      <c r="A6" s="4" t="s">
        <v>47</v>
      </c>
      <c r="B6" s="14">
        <f>'Income Statement'!E5</f>
        <v>7056601</v>
      </c>
    </row>
    <row r="7" spans="1:2" x14ac:dyDescent="0.25">
      <c r="A7" s="4" t="s">
        <v>48</v>
      </c>
      <c r="B7" s="22">
        <f>Assumptions!B32</f>
        <v>0.06</v>
      </c>
    </row>
    <row r="8" spans="1:2" x14ac:dyDescent="0.25">
      <c r="A8" s="5" t="s">
        <v>49</v>
      </c>
      <c r="B8" s="23">
        <f>B6*(1+B7)</f>
        <v>7479997.0600000005</v>
      </c>
    </row>
    <row r="10" spans="1:2" x14ac:dyDescent="0.25">
      <c r="A10" s="4" t="s">
        <v>50</v>
      </c>
      <c r="B10" s="24">
        <f>Assumptions!B28</f>
        <v>1.83E-2</v>
      </c>
    </row>
    <row r="11" spans="1:2" x14ac:dyDescent="0.25">
      <c r="A11" s="4" t="s">
        <v>51</v>
      </c>
      <c r="B11" s="32">
        <f>Assumptions!B34</f>
        <v>1.4999999999999999E-2</v>
      </c>
    </row>
    <row r="12" spans="1:2" x14ac:dyDescent="0.25">
      <c r="A12" s="34" t="s">
        <v>102</v>
      </c>
      <c r="B12" s="47">
        <f>B10-B11</f>
        <v>3.3000000000000008E-3</v>
      </c>
    </row>
    <row r="14" spans="1:2" x14ac:dyDescent="0.25">
      <c r="A14" s="36" t="s">
        <v>103</v>
      </c>
    </row>
    <row r="16" spans="1:2" x14ac:dyDescent="0.25">
      <c r="A16" s="5" t="s">
        <v>28</v>
      </c>
      <c r="B16" s="15">
        <f>B8</f>
        <v>7479997.0600000005</v>
      </c>
    </row>
    <row r="17" spans="1:2" x14ac:dyDescent="0.25">
      <c r="A17" s="4" t="s">
        <v>52</v>
      </c>
      <c r="B17" s="15">
        <f>B16*0.7</f>
        <v>5235997.9419999998</v>
      </c>
    </row>
    <row r="18" spans="1:2" x14ac:dyDescent="0.25">
      <c r="A18" s="5" t="s">
        <v>30</v>
      </c>
      <c r="B18" s="16">
        <f>B16-B17</f>
        <v>2243999.1180000007</v>
      </c>
    </row>
    <row r="19" spans="1:2" x14ac:dyDescent="0.25">
      <c r="A19" s="36" t="s">
        <v>9</v>
      </c>
      <c r="B19" s="50">
        <f>B18/B16</f>
        <v>0.3000000000000001</v>
      </c>
    </row>
    <row r="21" spans="1:2" x14ac:dyDescent="0.25">
      <c r="A21" s="4" t="s">
        <v>53</v>
      </c>
      <c r="B21" s="15">
        <f>B16*0.23</f>
        <v>1720399.3238000001</v>
      </c>
    </row>
    <row r="22" spans="1:2" x14ac:dyDescent="0.25">
      <c r="A22" s="34" t="s">
        <v>33</v>
      </c>
      <c r="B22" s="15">
        <f>B18-B21</f>
        <v>523599.79420000059</v>
      </c>
    </row>
    <row r="23" spans="1:2" x14ac:dyDescent="0.25">
      <c r="A23" s="34" t="s">
        <v>34</v>
      </c>
      <c r="B23" s="49">
        <f>B22/B16</f>
        <v>7.0000000000000076E-2</v>
      </c>
    </row>
    <row r="24" spans="1:2" x14ac:dyDescent="0.25">
      <c r="A24" s="4"/>
      <c r="B24" s="15"/>
    </row>
    <row r="25" spans="1:2" x14ac:dyDescent="0.25">
      <c r="A25" s="4" t="s">
        <v>54</v>
      </c>
      <c r="B25" s="15">
        <f>B16*B11</f>
        <v>112199.9559</v>
      </c>
    </row>
    <row r="26" spans="1:2" x14ac:dyDescent="0.25">
      <c r="A26" s="34" t="s">
        <v>101</v>
      </c>
      <c r="B26" s="48">
        <f>B25/B16</f>
        <v>1.4999999999999999E-2</v>
      </c>
    </row>
    <row r="27" spans="1:2" x14ac:dyDescent="0.25">
      <c r="A27" s="4"/>
      <c r="B27" s="15"/>
    </row>
    <row r="28" spans="1:2" ht="15.75" thickBot="1" x14ac:dyDescent="0.3">
      <c r="A28" s="5" t="s">
        <v>36</v>
      </c>
      <c r="B28" s="19">
        <f>B18-B21-B25</f>
        <v>411399.83830000059</v>
      </c>
    </row>
    <row r="29" spans="1:2" ht="15.75" thickTop="1" x14ac:dyDescent="0.25">
      <c r="A29" s="20" t="s">
        <v>37</v>
      </c>
      <c r="B29" s="48">
        <f>B28/B16</f>
        <v>5.5000000000000077E-2</v>
      </c>
    </row>
    <row r="31" spans="1:2" x14ac:dyDescent="0.25">
      <c r="A31" s="5" t="s">
        <v>55</v>
      </c>
    </row>
    <row r="33" spans="1:2" x14ac:dyDescent="0.25">
      <c r="A33" s="34" t="s">
        <v>94</v>
      </c>
      <c r="B33" s="14">
        <f>'Income Statement'!E22</f>
        <v>364826.27170000016</v>
      </c>
    </row>
    <row r="34" spans="1:2" x14ac:dyDescent="0.25">
      <c r="A34" s="34" t="s">
        <v>93</v>
      </c>
      <c r="B34" s="15">
        <f>B28</f>
        <v>411399.83830000059</v>
      </c>
    </row>
    <row r="35" spans="1:2" x14ac:dyDescent="0.25">
      <c r="A35" s="5" t="s">
        <v>56</v>
      </c>
      <c r="B35" s="29">
        <f>B34-B33</f>
        <v>46573.566600000428</v>
      </c>
    </row>
    <row r="36" spans="1:2" x14ac:dyDescent="0.25">
      <c r="A36" s="20"/>
      <c r="B36" s="18"/>
    </row>
    <row r="37" spans="1:2" x14ac:dyDescent="0.25">
      <c r="A37" s="5" t="s">
        <v>104</v>
      </c>
    </row>
    <row r="38" spans="1:2" x14ac:dyDescent="0.25">
      <c r="A38" s="38" t="s">
        <v>105</v>
      </c>
    </row>
    <row r="39" spans="1:2" x14ac:dyDescent="0.25">
      <c r="A39" s="38" t="s">
        <v>106</v>
      </c>
    </row>
    <row r="40" spans="1:2" x14ac:dyDescent="0.25">
      <c r="A40" s="38" t="s">
        <v>107</v>
      </c>
    </row>
    <row r="41" spans="1:2" x14ac:dyDescent="0.25">
      <c r="A41" s="3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Variance Analysis</vt:lpstr>
      <vt:lpstr>Q1 2025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Gamble</dc:creator>
  <cp:lastModifiedBy>Grant Gamble</cp:lastModifiedBy>
  <dcterms:created xsi:type="dcterms:W3CDTF">2026-02-02T01:52:38Z</dcterms:created>
  <dcterms:modified xsi:type="dcterms:W3CDTF">2026-02-05T22:10:26Z</dcterms:modified>
</cp:coreProperties>
</file>